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ltivosIlicitos" sheetId="1" r:id="rId1"/>
  </sheets>
  <calcPr fullCalcOnLoad="1"/>
</workbook>
</file>

<file path=xl/sharedStrings.xml><?xml version="1.0" encoding="utf-8"?>
<sst xmlns="http://schemas.openxmlformats.org/spreadsheetml/2006/main" count="66" uniqueCount="66">
  <si>
    <t>CULTIVOS ILÍCITOS</t>
  </si>
  <si>
    <t>Coca (Valores en hectáreas)</t>
  </si>
  <si>
    <t>CODDEPTO</t>
  </si>
  <si>
    <t>DEPARTAMENTO</t>
  </si>
  <si>
    <t>CODMPIO</t>
  </si>
  <si>
    <t>MUNICIPIO</t>
  </si>
  <si>
    <t>27</t>
  </si>
  <si>
    <t>CHOCÓ</t>
  </si>
  <si>
    <t>27006</t>
  </si>
  <si>
    <t>ACANDÍ</t>
  </si>
  <si>
    <t/>
  </si>
  <si>
    <t>27025</t>
  </si>
  <si>
    <t>ALTO BAUDÓ (Pie de Pató)</t>
  </si>
  <si>
    <t>27050</t>
  </si>
  <si>
    <t>ATRATO (Yuto)</t>
  </si>
  <si>
    <t>27075</t>
  </si>
  <si>
    <t>BAHÍA SOLANO (Mutis)</t>
  </si>
  <si>
    <t>27077</t>
  </si>
  <si>
    <t xml:space="preserve">BAJO BAUDÓ  (Pizarro)</t>
  </si>
  <si>
    <t>27099</t>
  </si>
  <si>
    <t>BOJAYÁ (Bellavista)</t>
  </si>
  <si>
    <t>27150</t>
  </si>
  <si>
    <t xml:space="preserve">CARMEN DEL DARIÉN  (Curbaradó)</t>
  </si>
  <si>
    <t>27205</t>
  </si>
  <si>
    <t>CONDOTO</t>
  </si>
  <si>
    <t>27135</t>
  </si>
  <si>
    <t>EL CANTÓN DEL SAN PABLO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</si>
  <si>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</si>
  <si>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</si>
  <si>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</si>
  <si>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</si>
  <si>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</si>
  <si>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</si>
  <si>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</si>
  <si>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</si>
  <si>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</si>
  <si>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 (Beté)</t>
  </si>
  <si>
    <t>27430</t>
  </si>
  <si>
    <t>MEDIO BAUDÓ (Boca de Pepé)</t>
  </si>
  <si>
    <t>27450</t>
  </si>
  <si>
    <t>MEDIO SAN JUAN (Andagoya)</t>
  </si>
  <si>
    <t>27491</t>
  </si>
  <si>
    <t>NÓVITA</t>
  </si>
  <si>
    <t>27495</t>
  </si>
  <si>
    <t>NUQUÍ</t>
  </si>
  <si>
    <t>27001</t>
  </si>
  <si>
    <t>QUIBDÓ</t>
  </si>
  <si>
    <t>27580</t>
  </si>
  <si>
    <t>RÍO IRÓ (Santa Rita)</t>
  </si>
  <si>
    <t>27600</t>
  </si>
  <si>
    <t>RÍO QUITO (Paimadó)</t>
  </si>
  <si>
    <t>27615</t>
  </si>
  <si>
    <t>RIOSUCIO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</si>
  <si>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</si>
  <si>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</si>
  <si>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</si>
  <si>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</si>
  <si>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</si>
  <si>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</si>
  <si>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</si>
  <si>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</si>
  <si>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</si>
  <si>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 (Ánimas)</t>
  </si>
  <si>
    <t>Total CHOCÓ</t>
  </si>
  <si>
    <t>Total</t>
  </si>
  <si>
    <t xml:space="preserve">1.	Fuente: SIMCI/UNODC
2.	A partir de 2010 se incluye un ajuste asociado a la presencia de lotes pequeños (menores a 0,25 ha).
3.	(2009)* Para este año no se incluyó el ajuste por presencia de lotes pequeños. El ajuste se hizo a nivel departamental. El total nacional ajustado para este año es: 73.139 hectáreas.
4.	La información de 2001 a 2010 fue construida con cartografía Igac 2002 y mejoras de límites municipales Simci. Esta cartografía fue modificada por Simci en 2011 incluyendo los municipios nuevos creados desde 2002 a 2010, solo para el censo 2012 se incluyeron estos municipios.
5.	Los cálculos de ajuste censal de 2001 a 2010 fueron realizados por metodología de anillos. Para los años 2011 y 2012 los cálculos se realizaron a partir del marco de grillas. El atributo de las unidades territoriales para 2011 se realizaron para departamento, a partir de la asignación de centroide. En 2012, el atributo de departamento y el top 10 municipal fue realizada a partir de centroide para el resto de municipios se realizó una asignación de ponderación a partir de la participación de las grillas de borde en el municipio. Este trabajo se llevó a cabo con la cartografía modificada Simci 2011.&lt;/p&gt;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</si>
</sst>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0"/>
      <color rgb="FF1C3A70" tint="0"/>
      <name val="Calibri"/>
    </font>
    <font>
      <sz val="14"/>
      <color rgb="FF1C3A70" tint="0"/>
      <name val="Calibri"/>
    </font>
    <font>
      <sz val="12"/>
      <color rgb="FFFFFFFF" tint="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3A70" tint="0"/>
      </patternFill>
    </fill>
  </fills>
  <borders count="1">
    <border>
      <left/>
      <right/>
      <top/>
      <bottom/>
      <diagonal/>
    </border>
  </borders>
  <cellStyleXfs count="1">
    <xf fontId="0"/>
  </cellStyleXfs>
  <cellXfs count="7">
    <xf fontId="0" applyFont="1" xfId="0"/>
    <xf fontId="1" applyFont="1" xfId="0">
      <alignment horizontal="center" vertical="center"/>
    </xf>
    <xf fontId="2" applyFont="1" xfId="0">
      <alignment horizontal="center" vertical="center"/>
    </xf>
    <xf fontId="3" applyFont="1" fillId="2" applyFill="1" xfId="0"/>
    <xf numFmtId="4" applyNumberFormat="1" fontId="0" applyFont="1" xfId="0"/>
    <xf fontId="4" applyFont="1" xfId="0"/>
    <xf fontId="0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190500</xdr:colOff>
      <xdr:row>4</xdr:row>
      <xdr:rowOff>180975</xdr:rowOff>
    </xdr:to>
    <xdr:pic>
      <xdr:nvPicPr>
        <xdr:cNvPr id="0" descr="" name="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AD40"/>
  <sheetViews>
    <sheetView workbookViewId="0"/>
  </sheetViews>
  <sheetFormatPr defaultRowHeight="15"/>
  <sheetData>
    <row r="5" ht="39" customHeight="1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</row>
    <row r="6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</row>
    <row r="9">
      <c r="A9" s="3" t="s">
        <v>2</v>
      </c>
      <c r="B9" s="3" t="s">
        <v>3</v>
      </c>
      <c r="C9" s="3" t="s">
        <v>4</v>
      </c>
      <c r="D9" s="3" t="s">
        <v>5</v>
      </c>
      <c r="E9" s="3">
        <v>1999</v>
      </c>
      <c r="F9" s="3">
        <v>2000</v>
      </c>
      <c r="G9" s="3">
        <v>2001</v>
      </c>
      <c r="H9" s="3">
        <v>2002</v>
      </c>
      <c r="I9" s="3">
        <v>2003</v>
      </c>
      <c r="J9" s="3">
        <v>2004</v>
      </c>
      <c r="K9" s="3">
        <v>2005</v>
      </c>
      <c r="L9" s="3">
        <v>2006</v>
      </c>
      <c r="M9" s="3">
        <v>2007</v>
      </c>
      <c r="N9" s="3">
        <v>2008</v>
      </c>
      <c r="O9" s="3">
        <v>2009</v>
      </c>
      <c r="P9" s="3">
        <v>2010</v>
      </c>
      <c r="Q9" s="3">
        <v>2011</v>
      </c>
      <c r="R9" s="3">
        <v>2012</v>
      </c>
      <c r="S9" s="3">
        <v>2013</v>
      </c>
      <c r="T9" s="3">
        <v>2014</v>
      </c>
      <c r="U9" s="3">
        <v>2015</v>
      </c>
      <c r="V9" s="3">
        <v>2016</v>
      </c>
      <c r="W9" s="3">
        <v>2017</v>
      </c>
      <c r="X9" s="3">
        <v>2018</v>
      </c>
      <c r="Y9" s="3">
        <v>2019</v>
      </c>
      <c r="Z9" s="3">
        <v>2020</v>
      </c>
      <c r="AA9" s="3">
        <v>2021</v>
      </c>
      <c r="AB9" s="3">
        <v>2022</v>
      </c>
      <c r="AC9" s="3">
        <v>2023</v>
      </c>
      <c r="AD9" s="3">
        <v>2024</v>
      </c>
    </row>
    <row r="10">
      <c r="A10" s="0" t="s">
        <v>6</v>
      </c>
      <c r="B10" s="0" t="s">
        <v>7</v>
      </c>
      <c r="C10" s="0" t="s">
        <v>8</v>
      </c>
      <c r="D10" s="4" t="s">
        <v>9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  <c r="K10" s="4" t="s">
        <v>10</v>
      </c>
      <c r="L10" s="4" t="s">
        <v>10</v>
      </c>
      <c r="M10" s="4" t="s">
        <v>10</v>
      </c>
      <c r="N10" s="4" t="s">
        <v>10</v>
      </c>
      <c r="O10" s="4" t="s">
        <v>10</v>
      </c>
      <c r="P10" s="4" t="s">
        <v>10</v>
      </c>
      <c r="Q10" s="4">
        <v>6</v>
      </c>
      <c r="R10" s="4">
        <v>4</v>
      </c>
      <c r="S10" s="4">
        <v>2</v>
      </c>
      <c r="T10" s="4">
        <v>4</v>
      </c>
      <c r="U10" s="4">
        <v>3.34</v>
      </c>
      <c r="V10" s="4">
        <v>2.2</v>
      </c>
      <c r="W10" s="4">
        <v>8.96</v>
      </c>
      <c r="X10" s="4">
        <v>4.47</v>
      </c>
      <c r="Y10" s="4">
        <v>4.76</v>
      </c>
      <c r="Z10" s="4">
        <v>1.69</v>
      </c>
      <c r="AA10" s="4">
        <v>1.29</v>
      </c>
      <c r="AB10" s="4">
        <v>6.34</v>
      </c>
      <c r="AC10" s="4">
        <v>6.57</v>
      </c>
      <c r="AD10" s="4" t="s">
        <v>10</v>
      </c>
    </row>
    <row r="11">
      <c r="A11" s="0" t="s">
        <v>6</v>
      </c>
      <c r="B11" s="0" t="s">
        <v>7</v>
      </c>
      <c r="C11" s="0" t="s">
        <v>11</v>
      </c>
      <c r="D11" s="4" t="s">
        <v>12</v>
      </c>
      <c r="E11" s="4" t="s">
        <v>10</v>
      </c>
      <c r="F11" s="4" t="s">
        <v>10</v>
      </c>
      <c r="G11" s="4" t="s">
        <v>10</v>
      </c>
      <c r="H11" s="4" t="s">
        <v>10</v>
      </c>
      <c r="I11" s="4">
        <v>45</v>
      </c>
      <c r="J11" s="4">
        <v>12</v>
      </c>
      <c r="K11" s="4">
        <v>104</v>
      </c>
      <c r="L11" s="4">
        <v>7</v>
      </c>
      <c r="M11" s="4">
        <v>259</v>
      </c>
      <c r="N11" s="4">
        <v>391</v>
      </c>
      <c r="O11" s="4">
        <v>159</v>
      </c>
      <c r="P11" s="4">
        <v>489</v>
      </c>
      <c r="Q11" s="4">
        <v>196</v>
      </c>
      <c r="R11" s="4">
        <v>268</v>
      </c>
      <c r="S11" s="4">
        <v>105</v>
      </c>
      <c r="T11" s="4">
        <v>135</v>
      </c>
      <c r="U11" s="4">
        <v>47.87</v>
      </c>
      <c r="V11" s="4">
        <v>57.97</v>
      </c>
      <c r="W11" s="4">
        <v>39.17</v>
      </c>
      <c r="X11" s="4">
        <v>21.62</v>
      </c>
      <c r="Y11" s="4">
        <v>38.75</v>
      </c>
      <c r="Z11" s="4">
        <v>34.09</v>
      </c>
      <c r="AA11" s="4">
        <v>115.75</v>
      </c>
      <c r="AB11" s="4">
        <v>173.93</v>
      </c>
      <c r="AC11" s="4">
        <v>245.07</v>
      </c>
      <c r="AD11" s="4">
        <v>168.78</v>
      </c>
    </row>
    <row r="12">
      <c r="A12" s="0" t="s">
        <v>6</v>
      </c>
      <c r="B12" s="0" t="s">
        <v>7</v>
      </c>
      <c r="C12" s="0" t="s">
        <v>13</v>
      </c>
      <c r="D12" s="4" t="s">
        <v>14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4" t="s">
        <v>10</v>
      </c>
      <c r="L12" s="4" t="s">
        <v>10</v>
      </c>
      <c r="M12" s="4" t="s">
        <v>10</v>
      </c>
      <c r="N12" s="4" t="s">
        <v>10</v>
      </c>
      <c r="O12" s="4">
        <v>4</v>
      </c>
      <c r="P12" s="4" t="s">
        <v>10</v>
      </c>
      <c r="Q12" s="4" t="s">
        <v>10</v>
      </c>
      <c r="R12" s="4">
        <v>8</v>
      </c>
      <c r="S12" s="4">
        <v>2</v>
      </c>
      <c r="T12" s="4" t="s">
        <v>10</v>
      </c>
      <c r="U12" s="4" t="s">
        <v>10</v>
      </c>
      <c r="V12" s="4" t="s">
        <v>10</v>
      </c>
      <c r="W12" s="4" t="s">
        <v>10</v>
      </c>
      <c r="X12" s="4" t="s">
        <v>10</v>
      </c>
      <c r="Y12" s="4" t="s">
        <v>10</v>
      </c>
      <c r="Z12" s="4" t="s">
        <v>10</v>
      </c>
      <c r="AA12" s="4" t="s">
        <v>10</v>
      </c>
      <c r="AB12" s="4">
        <v>1.78</v>
      </c>
      <c r="AC12" s="4">
        <v>1.64</v>
      </c>
      <c r="AD12" s="4" t="s">
        <v>10</v>
      </c>
    </row>
    <row r="13">
      <c r="A13" s="0" t="s">
        <v>6</v>
      </c>
      <c r="B13" s="0" t="s">
        <v>7</v>
      </c>
      <c r="C13" s="0" t="s">
        <v>15</v>
      </c>
      <c r="D13" s="4" t="s">
        <v>16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  <c r="K13" s="4" t="s">
        <v>10</v>
      </c>
      <c r="L13" s="4" t="s">
        <v>10</v>
      </c>
      <c r="M13" s="4" t="s">
        <v>10</v>
      </c>
      <c r="N13" s="4" t="s">
        <v>10</v>
      </c>
      <c r="O13" s="4" t="s">
        <v>10</v>
      </c>
      <c r="P13" s="4">
        <v>7</v>
      </c>
      <c r="Q13" s="4" t="s">
        <v>10</v>
      </c>
      <c r="R13" s="4" t="s">
        <v>10</v>
      </c>
      <c r="S13" s="4" t="s">
        <v>10</v>
      </c>
      <c r="T13" s="4" t="s">
        <v>10</v>
      </c>
      <c r="U13" s="4" t="s">
        <v>10</v>
      </c>
      <c r="V13" s="4" t="s">
        <v>10</v>
      </c>
      <c r="W13" s="4" t="s">
        <v>10</v>
      </c>
      <c r="X13" s="4" t="s">
        <v>10</v>
      </c>
      <c r="Y13" s="4" t="s">
        <v>10</v>
      </c>
      <c r="Z13" s="4" t="s">
        <v>10</v>
      </c>
      <c r="AA13" s="4" t="s">
        <v>10</v>
      </c>
      <c r="AB13" s="4" t="s">
        <v>10</v>
      </c>
      <c r="AC13" s="4" t="s">
        <v>10</v>
      </c>
      <c r="AD13" s="4" t="s">
        <v>10</v>
      </c>
    </row>
    <row r="14">
      <c r="A14" s="0" t="s">
        <v>6</v>
      </c>
      <c r="B14" s="0" t="s">
        <v>7</v>
      </c>
      <c r="C14" s="0" t="s">
        <v>17</v>
      </c>
      <c r="D14" s="4" t="s">
        <v>18</v>
      </c>
      <c r="E14" s="4" t="s">
        <v>10</v>
      </c>
      <c r="F14" s="4" t="s">
        <v>10</v>
      </c>
      <c r="G14" s="4" t="s">
        <v>10</v>
      </c>
      <c r="H14" s="4" t="s">
        <v>10</v>
      </c>
      <c r="I14" s="4">
        <v>177</v>
      </c>
      <c r="J14" s="4">
        <v>78</v>
      </c>
      <c r="K14" s="4">
        <v>332</v>
      </c>
      <c r="L14" s="4">
        <v>82</v>
      </c>
      <c r="M14" s="4">
        <v>353</v>
      </c>
      <c r="N14" s="4">
        <v>1114</v>
      </c>
      <c r="O14" s="4">
        <v>147</v>
      </c>
      <c r="P14" s="4">
        <v>341</v>
      </c>
      <c r="Q14" s="4">
        <v>248</v>
      </c>
      <c r="R14" s="4">
        <v>562</v>
      </c>
      <c r="S14" s="4">
        <v>145</v>
      </c>
      <c r="T14" s="4">
        <v>218</v>
      </c>
      <c r="U14" s="4">
        <v>131.16</v>
      </c>
      <c r="V14" s="4">
        <v>138.22</v>
      </c>
      <c r="W14" s="4">
        <v>79.75</v>
      </c>
      <c r="X14" s="4">
        <v>53.69</v>
      </c>
      <c r="Y14" s="4">
        <v>21.53</v>
      </c>
      <c r="Z14" s="4">
        <v>16.38</v>
      </c>
      <c r="AA14" s="4">
        <v>91.51</v>
      </c>
      <c r="AB14" s="4">
        <v>101.64</v>
      </c>
      <c r="AC14" s="4">
        <v>75.64</v>
      </c>
      <c r="AD14" s="4">
        <v>47.84</v>
      </c>
    </row>
    <row r="15">
      <c r="A15" s="0" t="s">
        <v>6</v>
      </c>
      <c r="B15" s="0" t="s">
        <v>7</v>
      </c>
      <c r="C15" s="0" t="s">
        <v>19</v>
      </c>
      <c r="D15" s="4" t="s">
        <v>20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 t="s">
        <v>10</v>
      </c>
      <c r="M15" s="4" t="s">
        <v>10</v>
      </c>
      <c r="N15" s="4" t="s">
        <v>10</v>
      </c>
      <c r="O15" s="4" t="s">
        <v>10</v>
      </c>
      <c r="P15" s="4" t="s">
        <v>10</v>
      </c>
      <c r="Q15" s="4">
        <v>4</v>
      </c>
      <c r="R15" s="4">
        <v>2</v>
      </c>
      <c r="S15" s="4" t="s">
        <v>10</v>
      </c>
      <c r="T15" s="4" t="s">
        <v>10</v>
      </c>
      <c r="U15" s="4" t="s">
        <v>10</v>
      </c>
      <c r="V15" s="4" t="s">
        <v>10</v>
      </c>
      <c r="W15" s="4" t="s">
        <v>10</v>
      </c>
      <c r="X15" s="4" t="s">
        <v>10</v>
      </c>
      <c r="Y15" s="4" t="s">
        <v>10</v>
      </c>
      <c r="Z15" s="4" t="s">
        <v>10</v>
      </c>
      <c r="AA15" s="4" t="s">
        <v>10</v>
      </c>
      <c r="AB15" s="4" t="s">
        <v>10</v>
      </c>
      <c r="AC15" s="4" t="s">
        <v>10</v>
      </c>
      <c r="AD15" s="4" t="s">
        <v>10</v>
      </c>
    </row>
    <row r="16">
      <c r="A16" s="0" t="s">
        <v>6</v>
      </c>
      <c r="B16" s="0" t="s">
        <v>7</v>
      </c>
      <c r="C16" s="0" t="s">
        <v>21</v>
      </c>
      <c r="D16" s="4" t="s">
        <v>22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  <c r="K16" s="4" t="s">
        <v>10</v>
      </c>
      <c r="L16" s="4" t="s">
        <v>10</v>
      </c>
      <c r="M16" s="4" t="s">
        <v>10</v>
      </c>
      <c r="N16" s="4" t="s">
        <v>10</v>
      </c>
      <c r="O16" s="4" t="s">
        <v>10</v>
      </c>
      <c r="P16" s="4" t="s">
        <v>10</v>
      </c>
      <c r="Q16" s="4" t="s">
        <v>10</v>
      </c>
      <c r="R16" s="4">
        <v>63</v>
      </c>
      <c r="S16" s="4">
        <v>76</v>
      </c>
      <c r="T16" s="4">
        <v>23</v>
      </c>
      <c r="U16" s="4">
        <v>48.14</v>
      </c>
      <c r="V16" s="4">
        <v>98.28</v>
      </c>
      <c r="W16" s="4">
        <v>159.99</v>
      </c>
      <c r="X16" s="4">
        <v>153.39</v>
      </c>
      <c r="Y16" s="4">
        <v>232.42</v>
      </c>
      <c r="Z16" s="4">
        <v>192.67</v>
      </c>
      <c r="AA16" s="4">
        <v>778.94</v>
      </c>
      <c r="AB16" s="4">
        <v>702.58</v>
      </c>
      <c r="AC16" s="4">
        <v>1035.35</v>
      </c>
      <c r="AD16" s="4">
        <v>1035.85</v>
      </c>
    </row>
    <row r="17">
      <c r="A17" s="0" t="s">
        <v>6</v>
      </c>
      <c r="B17" s="0" t="s">
        <v>7</v>
      </c>
      <c r="C17" s="0" t="s">
        <v>23</v>
      </c>
      <c r="D17" s="4" t="s">
        <v>24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>
        <v>1</v>
      </c>
      <c r="K17" s="4">
        <v>3</v>
      </c>
      <c r="L17" s="4" t="s">
        <v>10</v>
      </c>
      <c r="M17" s="4">
        <v>6</v>
      </c>
      <c r="N17" s="4">
        <v>55</v>
      </c>
      <c r="O17" s="4">
        <v>13</v>
      </c>
      <c r="P17" s="4">
        <v>33</v>
      </c>
      <c r="Q17" s="4">
        <v>59</v>
      </c>
      <c r="R17" s="4">
        <v>10</v>
      </c>
      <c r="S17" s="4">
        <v>7</v>
      </c>
      <c r="T17" s="4">
        <v>10</v>
      </c>
      <c r="U17" s="4">
        <v>20.57</v>
      </c>
      <c r="V17" s="4">
        <v>3.36</v>
      </c>
      <c r="W17" s="4">
        <v>13.53</v>
      </c>
      <c r="X17" s="4">
        <v>11.43</v>
      </c>
      <c r="Y17" s="4">
        <v>11.23</v>
      </c>
      <c r="Z17" s="4">
        <v>7.88</v>
      </c>
      <c r="AA17" s="4">
        <v>20.92</v>
      </c>
      <c r="AB17" s="4">
        <v>10.26</v>
      </c>
      <c r="AC17" s="4">
        <v>14.99</v>
      </c>
      <c r="AD17" s="4">
        <v>9.37</v>
      </c>
    </row>
    <row r="18">
      <c r="A18" s="0" t="s">
        <v>6</v>
      </c>
      <c r="B18" s="0" t="s">
        <v>7</v>
      </c>
      <c r="C18" s="0" t="s">
        <v>25</v>
      </c>
      <c r="D18" s="4" t="s">
        <v>26</v>
      </c>
      <c r="E18" s="4" t="s">
        <v>10</v>
      </c>
      <c r="F18" s="4" t="s">
        <v>10</v>
      </c>
      <c r="G18" s="4" t="s">
        <v>10</v>
      </c>
      <c r="H18" s="4" t="s">
        <v>10</v>
      </c>
      <c r="I18" s="4">
        <v>1.35</v>
      </c>
      <c r="J18" s="4">
        <v>12</v>
      </c>
      <c r="K18" s="4">
        <v>48</v>
      </c>
      <c r="L18" s="4" t="s">
        <v>10</v>
      </c>
      <c r="M18" s="4">
        <v>25</v>
      </c>
      <c r="N18" s="4">
        <v>52</v>
      </c>
      <c r="O18" s="4">
        <v>63</v>
      </c>
      <c r="P18" s="4">
        <v>133</v>
      </c>
      <c r="Q18" s="4">
        <v>68</v>
      </c>
      <c r="R18" s="4">
        <v>58</v>
      </c>
      <c r="S18" s="4">
        <v>29</v>
      </c>
      <c r="T18" s="4">
        <v>50</v>
      </c>
      <c r="U18" s="4">
        <v>47.82</v>
      </c>
      <c r="V18" s="4">
        <v>34.76</v>
      </c>
      <c r="W18" s="4">
        <v>11.73</v>
      </c>
      <c r="X18" s="4">
        <v>5.51</v>
      </c>
      <c r="Y18" s="4" t="s">
        <v>10</v>
      </c>
      <c r="Z18" s="4" t="s">
        <v>10</v>
      </c>
      <c r="AA18" s="4">
        <v>19.22</v>
      </c>
      <c r="AB18" s="4">
        <v>22.04</v>
      </c>
      <c r="AC18" s="4">
        <v>29.42</v>
      </c>
      <c r="AD18" s="4">
        <v>33.65</v>
      </c>
    </row>
    <row r="19">
      <c r="A19" s="0" t="s">
        <v>6</v>
      </c>
      <c r="B19" s="0" t="s">
        <v>7</v>
      </c>
      <c r="C19" s="0" t="s">
        <v>27</v>
      </c>
      <c r="D19" s="4" t="s">
        <v>28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>
        <v>1.26</v>
      </c>
      <c r="K19" s="4">
        <v>1.98</v>
      </c>
      <c r="L19" s="4">
        <v>3</v>
      </c>
      <c r="M19" s="4">
        <v>11</v>
      </c>
      <c r="N19" s="4">
        <v>102</v>
      </c>
      <c r="O19" s="4">
        <v>24</v>
      </c>
      <c r="P19" s="4">
        <v>60</v>
      </c>
      <c r="Q19" s="4">
        <v>36</v>
      </c>
      <c r="R19" s="4">
        <v>144</v>
      </c>
      <c r="S19" s="4">
        <v>67</v>
      </c>
      <c r="T19" s="4">
        <v>120</v>
      </c>
      <c r="U19" s="4">
        <v>37.98</v>
      </c>
      <c r="V19" s="4">
        <v>98.35</v>
      </c>
      <c r="W19" s="4">
        <v>184.52</v>
      </c>
      <c r="X19" s="4">
        <v>138.36</v>
      </c>
      <c r="Y19" s="4">
        <v>59.41</v>
      </c>
      <c r="Z19" s="4">
        <v>50.94</v>
      </c>
      <c r="AA19" s="4">
        <v>63.54</v>
      </c>
      <c r="AB19" s="4">
        <v>81.93</v>
      </c>
      <c r="AC19" s="4">
        <v>100.76</v>
      </c>
      <c r="AD19" s="4">
        <v>87.44</v>
      </c>
    </row>
    <row r="20">
      <c r="A20" s="0" t="s">
        <v>6</v>
      </c>
      <c r="B20" s="0" t="s">
        <v>7</v>
      </c>
      <c r="C20" s="0" t="s">
        <v>29</v>
      </c>
      <c r="D20" s="4" t="s">
        <v>30</v>
      </c>
      <c r="E20" s="4" t="s">
        <v>10</v>
      </c>
      <c r="F20" s="4" t="s">
        <v>10</v>
      </c>
      <c r="G20" s="4" t="s">
        <v>10</v>
      </c>
      <c r="H20" s="4" t="s">
        <v>10</v>
      </c>
      <c r="I20" s="4">
        <v>57</v>
      </c>
      <c r="J20" s="4">
        <v>36</v>
      </c>
      <c r="K20" s="4">
        <v>196</v>
      </c>
      <c r="L20" s="4">
        <v>210</v>
      </c>
      <c r="M20" s="4">
        <v>205</v>
      </c>
      <c r="N20" s="4">
        <v>425</v>
      </c>
      <c r="O20" s="4">
        <v>497</v>
      </c>
      <c r="P20" s="4">
        <v>847</v>
      </c>
      <c r="Q20" s="4">
        <v>684</v>
      </c>
      <c r="R20" s="4">
        <v>760</v>
      </c>
      <c r="S20" s="4">
        <v>369</v>
      </c>
      <c r="T20" s="4">
        <v>517</v>
      </c>
      <c r="U20" s="4">
        <v>303.11</v>
      </c>
      <c r="V20" s="4">
        <v>476.71</v>
      </c>
      <c r="W20" s="4">
        <v>743.05</v>
      </c>
      <c r="X20" s="4">
        <v>577.36</v>
      </c>
      <c r="Y20" s="4">
        <v>228.85</v>
      </c>
      <c r="Z20" s="4">
        <v>200.15</v>
      </c>
      <c r="AA20" s="4">
        <v>462.79</v>
      </c>
      <c r="AB20" s="4">
        <v>311.83</v>
      </c>
      <c r="AC20" s="4">
        <v>390.34</v>
      </c>
      <c r="AD20" s="4">
        <v>333.49</v>
      </c>
    </row>
    <row r="21">
      <c r="A21" s="0" t="s">
        <v>6</v>
      </c>
      <c r="B21" s="0" t="s">
        <v>7</v>
      </c>
      <c r="C21" s="0" t="s">
        <v>31</v>
      </c>
      <c r="D21" s="4" t="s">
        <v>32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  <c r="K21" s="4" t="s">
        <v>10</v>
      </c>
      <c r="L21" s="4" t="s">
        <v>10</v>
      </c>
      <c r="M21" s="4" t="s">
        <v>10</v>
      </c>
      <c r="N21" s="4" t="s">
        <v>10</v>
      </c>
      <c r="O21" s="4" t="s">
        <v>10</v>
      </c>
      <c r="P21" s="4">
        <v>13</v>
      </c>
      <c r="Q21" s="4">
        <v>18</v>
      </c>
      <c r="R21" s="4">
        <v>9</v>
      </c>
      <c r="S21" s="4">
        <v>9</v>
      </c>
      <c r="T21" s="4" t="s">
        <v>10</v>
      </c>
      <c r="U21" s="4" t="s">
        <v>10</v>
      </c>
      <c r="V21" s="4" t="s">
        <v>10</v>
      </c>
      <c r="W21" s="4" t="s">
        <v>10</v>
      </c>
      <c r="X21" s="4" t="s">
        <v>10</v>
      </c>
      <c r="Y21" s="4" t="s">
        <v>10</v>
      </c>
      <c r="Z21" s="4" t="s">
        <v>10</v>
      </c>
      <c r="AA21" s="4" t="s">
        <v>10</v>
      </c>
      <c r="AB21" s="4" t="s">
        <v>10</v>
      </c>
      <c r="AC21" s="4" t="s">
        <v>10</v>
      </c>
      <c r="AD21" s="4" t="s">
        <v>10</v>
      </c>
    </row>
    <row r="22">
      <c r="A22" s="0" t="s">
        <v>6</v>
      </c>
      <c r="B22" s="0" t="s">
        <v>7</v>
      </c>
      <c r="C22" s="0" t="s">
        <v>33</v>
      </c>
      <c r="D22" s="4" t="s">
        <v>34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  <c r="K22" s="4" t="s">
        <v>10</v>
      </c>
      <c r="L22" s="4" t="s">
        <v>10</v>
      </c>
      <c r="M22" s="4" t="s">
        <v>10</v>
      </c>
      <c r="N22" s="4" t="s">
        <v>10</v>
      </c>
      <c r="O22" s="4" t="s">
        <v>10</v>
      </c>
      <c r="P22" s="4">
        <v>10</v>
      </c>
      <c r="Q22" s="4" t="s">
        <v>10</v>
      </c>
      <c r="R22" s="4">
        <v>4</v>
      </c>
      <c r="S22" s="4" t="s">
        <v>10</v>
      </c>
      <c r="T22" s="4" t="s">
        <v>10</v>
      </c>
      <c r="U22" s="4" t="s">
        <v>10</v>
      </c>
      <c r="V22" s="4" t="s">
        <v>10</v>
      </c>
      <c r="W22" s="4">
        <v>1.37</v>
      </c>
      <c r="X22" s="4" t="s">
        <v>10</v>
      </c>
      <c r="Y22" s="4" t="s">
        <v>10</v>
      </c>
      <c r="Z22" s="4">
        <v>4.16</v>
      </c>
      <c r="AA22" s="4">
        <v>13.54</v>
      </c>
      <c r="AB22" s="4">
        <v>7.96</v>
      </c>
      <c r="AC22" s="4">
        <v>2.09</v>
      </c>
      <c r="AD22" s="4">
        <v>4.64</v>
      </c>
    </row>
    <row r="23">
      <c r="A23" s="0" t="s">
        <v>6</v>
      </c>
      <c r="B23" s="0" t="s">
        <v>7</v>
      </c>
      <c r="C23" s="0" t="s">
        <v>35</v>
      </c>
      <c r="D23" s="4" t="s">
        <v>36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  <c r="K23" s="4" t="s">
        <v>10</v>
      </c>
      <c r="L23" s="4" t="s">
        <v>10</v>
      </c>
      <c r="M23" s="4" t="s">
        <v>10</v>
      </c>
      <c r="N23" s="4" t="s">
        <v>10</v>
      </c>
      <c r="O23" s="4" t="s">
        <v>10</v>
      </c>
      <c r="P23" s="4">
        <v>4</v>
      </c>
      <c r="Q23" s="4">
        <v>3</v>
      </c>
      <c r="R23" s="4">
        <v>4</v>
      </c>
      <c r="S23" s="4" t="s">
        <v>10</v>
      </c>
      <c r="T23" s="4" t="s">
        <v>10</v>
      </c>
      <c r="U23" s="4" t="s">
        <v>10</v>
      </c>
      <c r="V23" s="4" t="s">
        <v>10</v>
      </c>
      <c r="W23" s="4" t="s">
        <v>10</v>
      </c>
      <c r="X23" s="4" t="s">
        <v>10</v>
      </c>
      <c r="Y23" s="4" t="s">
        <v>10</v>
      </c>
      <c r="Z23" s="4" t="s">
        <v>10</v>
      </c>
      <c r="AA23" s="4" t="s">
        <v>10</v>
      </c>
      <c r="AB23" s="4" t="s">
        <v>10</v>
      </c>
      <c r="AC23" s="4" t="s">
        <v>10</v>
      </c>
      <c r="AD23" s="4" t="s">
        <v>10</v>
      </c>
    </row>
    <row r="24">
      <c r="A24" s="0" t="s">
        <v>6</v>
      </c>
      <c r="B24" s="0" t="s">
        <v>7</v>
      </c>
      <c r="C24" s="0" t="s">
        <v>37</v>
      </c>
      <c r="D24" s="4" t="s">
        <v>38</v>
      </c>
      <c r="E24" s="4" t="s">
        <v>10</v>
      </c>
      <c r="F24" s="4" t="s">
        <v>10</v>
      </c>
      <c r="G24" s="4" t="s">
        <v>10</v>
      </c>
      <c r="H24" s="4" t="s">
        <v>10</v>
      </c>
      <c r="I24" s="4">
        <v>4.23</v>
      </c>
      <c r="J24" s="4">
        <v>11</v>
      </c>
      <c r="K24" s="4">
        <v>68</v>
      </c>
      <c r="L24" s="4">
        <v>24</v>
      </c>
      <c r="M24" s="4">
        <v>77</v>
      </c>
      <c r="N24" s="4">
        <v>228</v>
      </c>
      <c r="O24" s="4">
        <v>254</v>
      </c>
      <c r="P24" s="4">
        <v>333</v>
      </c>
      <c r="Q24" s="4">
        <v>352</v>
      </c>
      <c r="R24" s="4">
        <v>606</v>
      </c>
      <c r="S24" s="4">
        <v>177</v>
      </c>
      <c r="T24" s="4">
        <v>231</v>
      </c>
      <c r="U24" s="4">
        <v>134.81</v>
      </c>
      <c r="V24" s="4">
        <v>68.85</v>
      </c>
      <c r="W24" s="4">
        <v>64.52</v>
      </c>
      <c r="X24" s="4">
        <v>43.42</v>
      </c>
      <c r="Y24" s="4">
        <v>36.61</v>
      </c>
      <c r="Z24" s="4">
        <v>39.79</v>
      </c>
      <c r="AA24" s="4">
        <v>161.45</v>
      </c>
      <c r="AB24" s="4">
        <v>170.15</v>
      </c>
      <c r="AC24" s="4">
        <v>315.42</v>
      </c>
      <c r="AD24" s="4">
        <v>345.77</v>
      </c>
    </row>
    <row r="25">
      <c r="A25" s="0" t="s">
        <v>6</v>
      </c>
      <c r="B25" s="0" t="s">
        <v>7</v>
      </c>
      <c r="C25" s="0" t="s">
        <v>39</v>
      </c>
      <c r="D25" s="4" t="s">
        <v>40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  <c r="K25" s="4" t="s">
        <v>10</v>
      </c>
      <c r="L25" s="4" t="s">
        <v>10</v>
      </c>
      <c r="M25" s="4" t="s">
        <v>10</v>
      </c>
      <c r="N25" s="4" t="s">
        <v>10</v>
      </c>
      <c r="O25" s="4" t="s">
        <v>10</v>
      </c>
      <c r="P25" s="4" t="s">
        <v>10</v>
      </c>
      <c r="Q25" s="4" t="s">
        <v>10</v>
      </c>
      <c r="R25" s="4">
        <v>305</v>
      </c>
      <c r="S25" s="4">
        <v>192</v>
      </c>
      <c r="T25" s="4">
        <v>153</v>
      </c>
      <c r="U25" s="4">
        <v>304.9</v>
      </c>
      <c r="V25" s="4">
        <v>136.34</v>
      </c>
      <c r="W25" s="4">
        <v>305.05</v>
      </c>
      <c r="X25" s="4">
        <v>224.96</v>
      </c>
      <c r="Y25" s="4">
        <v>81.23</v>
      </c>
      <c r="Z25" s="4">
        <v>82.53</v>
      </c>
      <c r="AA25" s="4">
        <v>249.03</v>
      </c>
      <c r="AB25" s="4">
        <v>218.32</v>
      </c>
      <c r="AC25" s="4">
        <v>358.11</v>
      </c>
      <c r="AD25" s="4">
        <v>333.77</v>
      </c>
    </row>
    <row r="26">
      <c r="A26" s="0" t="s">
        <v>6</v>
      </c>
      <c r="B26" s="0" t="s">
        <v>7</v>
      </c>
      <c r="C26" s="0" t="s">
        <v>41</v>
      </c>
      <c r="D26" s="4" t="s">
        <v>42</v>
      </c>
      <c r="E26" s="4" t="s">
        <v>10</v>
      </c>
      <c r="F26" s="4" t="s">
        <v>10</v>
      </c>
      <c r="G26" s="4" t="s">
        <v>10</v>
      </c>
      <c r="H26" s="4" t="s">
        <v>10</v>
      </c>
      <c r="I26" s="4">
        <v>93</v>
      </c>
      <c r="J26" s="4">
        <v>30</v>
      </c>
      <c r="K26" s="4">
        <v>90</v>
      </c>
      <c r="L26" s="4">
        <v>237</v>
      </c>
      <c r="M26" s="4">
        <v>76</v>
      </c>
      <c r="N26" s="4">
        <v>215</v>
      </c>
      <c r="O26" s="4">
        <v>190</v>
      </c>
      <c r="P26" s="4">
        <v>249</v>
      </c>
      <c r="Q26" s="4">
        <v>464</v>
      </c>
      <c r="R26" s="4">
        <v>165</v>
      </c>
      <c r="S26" s="4">
        <v>91</v>
      </c>
      <c r="T26" s="4">
        <v>53</v>
      </c>
      <c r="U26" s="4">
        <v>78.94</v>
      </c>
      <c r="V26" s="4">
        <v>75.26</v>
      </c>
      <c r="W26" s="4">
        <v>162.33</v>
      </c>
      <c r="X26" s="4">
        <v>130.29</v>
      </c>
      <c r="Y26" s="4">
        <v>69.32</v>
      </c>
      <c r="Z26" s="4">
        <v>61.85</v>
      </c>
      <c r="AA26" s="4">
        <v>143.69</v>
      </c>
      <c r="AB26" s="4">
        <v>133.92</v>
      </c>
      <c r="AC26" s="4">
        <v>135.52</v>
      </c>
      <c r="AD26" s="4">
        <v>112.16</v>
      </c>
    </row>
    <row r="27">
      <c r="A27" s="0" t="s">
        <v>6</v>
      </c>
      <c r="B27" s="0" t="s">
        <v>7</v>
      </c>
      <c r="C27" s="0" t="s">
        <v>43</v>
      </c>
      <c r="D27" s="4" t="s">
        <v>44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>
        <v>2</v>
      </c>
      <c r="K27" s="4">
        <v>5</v>
      </c>
      <c r="L27" s="4">
        <v>2</v>
      </c>
      <c r="M27" s="4">
        <v>8</v>
      </c>
      <c r="N27" s="4">
        <v>23</v>
      </c>
      <c r="O27" s="4">
        <v>19</v>
      </c>
      <c r="P27" s="4">
        <v>13</v>
      </c>
      <c r="Q27" s="4">
        <v>12</v>
      </c>
      <c r="R27" s="4">
        <v>33</v>
      </c>
      <c r="S27" s="4">
        <v>3</v>
      </c>
      <c r="T27" s="4">
        <v>6</v>
      </c>
      <c r="U27" s="4" t="s">
        <v>10</v>
      </c>
      <c r="V27" s="4" t="s">
        <v>10</v>
      </c>
      <c r="W27" s="4" t="s">
        <v>10</v>
      </c>
      <c r="X27" s="4" t="s">
        <v>10</v>
      </c>
      <c r="Y27" s="4" t="s">
        <v>10</v>
      </c>
      <c r="Z27" s="4" t="s">
        <v>10</v>
      </c>
      <c r="AA27" s="4" t="s">
        <v>10</v>
      </c>
      <c r="AB27" s="4" t="s">
        <v>10</v>
      </c>
      <c r="AC27" s="4" t="s">
        <v>10</v>
      </c>
      <c r="AD27" s="4" t="s">
        <v>10</v>
      </c>
    </row>
    <row r="28">
      <c r="A28" s="0" t="s">
        <v>6</v>
      </c>
      <c r="B28" s="0" t="s">
        <v>7</v>
      </c>
      <c r="C28" s="0" t="s">
        <v>45</v>
      </c>
      <c r="D28" s="4" t="s">
        <v>46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  <c r="K28" s="4">
        <v>2.97</v>
      </c>
      <c r="L28" s="4">
        <v>3</v>
      </c>
      <c r="M28" s="4">
        <v>3</v>
      </c>
      <c r="N28" s="4">
        <v>7</v>
      </c>
      <c r="O28" s="4">
        <v>42</v>
      </c>
      <c r="P28" s="4">
        <v>26</v>
      </c>
      <c r="Q28" s="4">
        <v>14</v>
      </c>
      <c r="R28" s="4">
        <v>25</v>
      </c>
      <c r="S28" s="4">
        <v>11</v>
      </c>
      <c r="T28" s="4">
        <v>2</v>
      </c>
      <c r="U28" s="4">
        <v>5.76</v>
      </c>
      <c r="V28" s="4">
        <v>3.75</v>
      </c>
      <c r="W28" s="4">
        <v>7.16</v>
      </c>
      <c r="X28" s="4">
        <v>3.52</v>
      </c>
      <c r="Y28" s="4">
        <v>5.07</v>
      </c>
      <c r="Z28" s="4">
        <v>12.59</v>
      </c>
      <c r="AA28" s="4">
        <v>26.06</v>
      </c>
      <c r="AB28" s="4">
        <v>27.05</v>
      </c>
      <c r="AC28" s="4">
        <v>46.42</v>
      </c>
      <c r="AD28" s="4">
        <v>27.71</v>
      </c>
    </row>
    <row r="29">
      <c r="A29" s="0" t="s">
        <v>6</v>
      </c>
      <c r="B29" s="0" t="s">
        <v>7</v>
      </c>
      <c r="C29" s="0" t="s">
        <v>47</v>
      </c>
      <c r="D29" s="4" t="s">
        <v>48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  <c r="K29" s="4" t="s">
        <v>10</v>
      </c>
      <c r="L29" s="4" t="s">
        <v>10</v>
      </c>
      <c r="M29" s="4" t="s">
        <v>10</v>
      </c>
      <c r="N29" s="4" t="s">
        <v>10</v>
      </c>
      <c r="O29" s="4" t="s">
        <v>10</v>
      </c>
      <c r="P29" s="4" t="s">
        <v>10</v>
      </c>
      <c r="Q29" s="4" t="s">
        <v>10</v>
      </c>
      <c r="R29" s="4">
        <v>12</v>
      </c>
      <c r="S29" s="4">
        <v>12</v>
      </c>
      <c r="T29" s="4">
        <v>13</v>
      </c>
      <c r="U29" s="4">
        <v>14.05</v>
      </c>
      <c r="V29" s="4">
        <v>7.9</v>
      </c>
      <c r="W29" s="4">
        <v>27.68</v>
      </c>
      <c r="X29" s="4">
        <v>16.33</v>
      </c>
      <c r="Y29" s="4">
        <v>6.48</v>
      </c>
      <c r="Z29" s="4">
        <v>9.86</v>
      </c>
      <c r="AA29" s="4">
        <v>26.31</v>
      </c>
      <c r="AB29" s="4">
        <v>16.46</v>
      </c>
      <c r="AC29" s="4">
        <v>39.71</v>
      </c>
      <c r="AD29" s="4">
        <v>27.12</v>
      </c>
    </row>
    <row r="30">
      <c r="A30" s="0" t="s">
        <v>6</v>
      </c>
      <c r="B30" s="0" t="s">
        <v>7</v>
      </c>
      <c r="C30" s="0" t="s">
        <v>49</v>
      </c>
      <c r="D30" s="4" t="s">
        <v>50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>
        <v>9</v>
      </c>
      <c r="K30" s="4">
        <v>21</v>
      </c>
      <c r="L30" s="4" t="s">
        <v>10</v>
      </c>
      <c r="M30" s="4">
        <v>22</v>
      </c>
      <c r="N30" s="4">
        <v>9</v>
      </c>
      <c r="O30" s="4" t="s">
        <v>10</v>
      </c>
      <c r="P30" s="4">
        <v>30</v>
      </c>
      <c r="Q30" s="4">
        <v>16</v>
      </c>
      <c r="R30" s="4">
        <v>16</v>
      </c>
      <c r="S30" s="4">
        <v>3</v>
      </c>
      <c r="T30" s="4">
        <v>3</v>
      </c>
      <c r="U30" s="4">
        <v>2.59</v>
      </c>
      <c r="V30" s="4" t="s">
        <v>10</v>
      </c>
      <c r="W30" s="4" t="s">
        <v>10</v>
      </c>
      <c r="X30" s="4" t="s">
        <v>10</v>
      </c>
      <c r="Y30" s="4" t="s">
        <v>10</v>
      </c>
      <c r="Z30" s="4" t="s">
        <v>10</v>
      </c>
      <c r="AA30" s="4">
        <v>10.51</v>
      </c>
      <c r="AB30" s="4">
        <v>3.43</v>
      </c>
      <c r="AC30" s="4">
        <v>9.48</v>
      </c>
      <c r="AD30" s="4">
        <v>7.5</v>
      </c>
    </row>
    <row r="31">
      <c r="A31" s="0" t="s">
        <v>6</v>
      </c>
      <c r="B31" s="0" t="s">
        <v>7</v>
      </c>
      <c r="C31" s="0" t="s">
        <v>51</v>
      </c>
      <c r="D31" s="4" t="s">
        <v>52</v>
      </c>
      <c r="E31" s="4" t="s">
        <v>10</v>
      </c>
      <c r="F31" s="4">
        <v>250</v>
      </c>
      <c r="G31" s="4">
        <v>354</v>
      </c>
      <c r="H31" s="4" t="s">
        <v>10</v>
      </c>
      <c r="I31" s="4" t="s">
        <v>10</v>
      </c>
      <c r="J31" s="4" t="s">
        <v>10</v>
      </c>
      <c r="K31" s="4" t="s">
        <v>10</v>
      </c>
      <c r="L31" s="4" t="s">
        <v>10</v>
      </c>
      <c r="M31" s="4" t="s">
        <v>10</v>
      </c>
      <c r="N31" s="4" t="s">
        <v>10</v>
      </c>
      <c r="O31" s="4">
        <v>75</v>
      </c>
      <c r="P31" s="4">
        <v>243</v>
      </c>
      <c r="Q31" s="4">
        <v>86</v>
      </c>
      <c r="R31" s="4">
        <v>196</v>
      </c>
      <c r="S31" s="4">
        <v>130</v>
      </c>
      <c r="T31" s="4">
        <v>40</v>
      </c>
      <c r="U31" s="4">
        <v>90.7</v>
      </c>
      <c r="V31" s="4">
        <v>35.75</v>
      </c>
      <c r="W31" s="4">
        <v>113.87</v>
      </c>
      <c r="X31" s="4">
        <v>104.01</v>
      </c>
      <c r="Y31" s="4">
        <v>148.83</v>
      </c>
      <c r="Z31" s="4">
        <v>155.65</v>
      </c>
      <c r="AA31" s="4">
        <v>1036.14</v>
      </c>
      <c r="AB31" s="4">
        <v>1055.78</v>
      </c>
      <c r="AC31" s="4">
        <v>1643.64</v>
      </c>
      <c r="AD31" s="4">
        <v>1574.46</v>
      </c>
    </row>
    <row r="32">
      <c r="A32" s="0" t="s">
        <v>6</v>
      </c>
      <c r="B32" s="0" t="s">
        <v>7</v>
      </c>
      <c r="C32" s="0" t="s">
        <v>53</v>
      </c>
      <c r="D32" s="4" t="s">
        <v>54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  <c r="K32" s="4" t="s">
        <v>10</v>
      </c>
      <c r="L32" s="4" t="s">
        <v>10</v>
      </c>
      <c r="M32" s="4">
        <v>7</v>
      </c>
      <c r="N32" s="4">
        <v>94</v>
      </c>
      <c r="O32" s="4">
        <v>57</v>
      </c>
      <c r="P32" s="4">
        <v>107</v>
      </c>
      <c r="Q32" s="4">
        <v>104</v>
      </c>
      <c r="R32" s="4">
        <v>43</v>
      </c>
      <c r="S32" s="4">
        <v>92</v>
      </c>
      <c r="T32" s="4">
        <v>47</v>
      </c>
      <c r="U32" s="4">
        <v>44.43</v>
      </c>
      <c r="V32" s="4">
        <v>323.42</v>
      </c>
      <c r="W32" s="4">
        <v>392.52</v>
      </c>
      <c r="X32" s="4">
        <v>391.55</v>
      </c>
      <c r="Y32" s="4">
        <v>180.85</v>
      </c>
      <c r="Z32" s="4">
        <v>253.79</v>
      </c>
      <c r="AA32" s="4">
        <v>1040.35</v>
      </c>
      <c r="AB32" s="4">
        <v>1614.01</v>
      </c>
      <c r="AC32" s="4">
        <v>1477.67</v>
      </c>
      <c r="AD32" s="4">
        <v>1383.53</v>
      </c>
    </row>
    <row r="33">
      <c r="A33" s="0" t="s">
        <v>6</v>
      </c>
      <c r="B33" s="0" t="s">
        <v>7</v>
      </c>
      <c r="C33" s="0" t="s">
        <v>55</v>
      </c>
      <c r="D33" s="4" t="s">
        <v>56</v>
      </c>
      <c r="E33" s="4" t="s">
        <v>10</v>
      </c>
      <c r="F33" s="4" t="s">
        <v>10</v>
      </c>
      <c r="G33" s="4" t="s">
        <v>10</v>
      </c>
      <c r="H33" s="4" t="s">
        <v>10</v>
      </c>
      <c r="I33" s="4">
        <v>76</v>
      </c>
      <c r="J33" s="4">
        <v>127</v>
      </c>
      <c r="K33" s="4">
        <v>150</v>
      </c>
      <c r="L33" s="4">
        <v>248</v>
      </c>
      <c r="M33" s="4">
        <v>28</v>
      </c>
      <c r="N33" s="4">
        <v>74</v>
      </c>
      <c r="O33" s="4">
        <v>122</v>
      </c>
      <c r="P33" s="4">
        <v>191</v>
      </c>
      <c r="Q33" s="4">
        <v>130</v>
      </c>
      <c r="R33" s="4">
        <v>125</v>
      </c>
      <c r="S33" s="4">
        <v>106</v>
      </c>
      <c r="T33" s="4">
        <v>99</v>
      </c>
      <c r="U33" s="4">
        <v>91.25</v>
      </c>
      <c r="V33" s="4">
        <v>217.9</v>
      </c>
      <c r="W33" s="4">
        <v>258</v>
      </c>
      <c r="X33" s="4">
        <v>246.96</v>
      </c>
      <c r="Y33" s="4">
        <v>110.08</v>
      </c>
      <c r="Z33" s="4">
        <v>168.38</v>
      </c>
      <c r="AA33" s="4">
        <v>382.06</v>
      </c>
      <c r="AB33" s="4">
        <v>470.09</v>
      </c>
      <c r="AC33" s="4">
        <v>428.57</v>
      </c>
      <c r="AD33" s="4">
        <v>418.79</v>
      </c>
    </row>
    <row r="34">
      <c r="A34" s="0" t="s">
        <v>6</v>
      </c>
      <c r="B34" s="0" t="s">
        <v>7</v>
      </c>
      <c r="C34" s="0" t="s">
        <v>57</v>
      </c>
      <c r="D34" s="4" t="s">
        <v>58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>
        <v>2</v>
      </c>
      <c r="K34" s="4">
        <v>1.53</v>
      </c>
      <c r="L34" s="4" t="s">
        <v>10</v>
      </c>
      <c r="M34" s="4" t="s">
        <v>10</v>
      </c>
      <c r="N34" s="4">
        <v>5</v>
      </c>
      <c r="O34" s="4" t="s">
        <v>10</v>
      </c>
      <c r="P34" s="4" t="s">
        <v>10</v>
      </c>
      <c r="Q34" s="4">
        <v>4</v>
      </c>
      <c r="R34" s="4">
        <v>3</v>
      </c>
      <c r="S34" s="4">
        <v>2</v>
      </c>
      <c r="T34" s="4">
        <v>3</v>
      </c>
      <c r="U34" s="4">
        <v>5.51</v>
      </c>
      <c r="V34" s="4">
        <v>3.16</v>
      </c>
      <c r="W34" s="4">
        <v>2.71</v>
      </c>
      <c r="X34" s="4" t="s">
        <v>10</v>
      </c>
      <c r="Y34" s="4" t="s">
        <v>10</v>
      </c>
      <c r="Z34" s="4" t="s">
        <v>10</v>
      </c>
      <c r="AA34" s="4" t="s">
        <v>10</v>
      </c>
      <c r="AB34" s="4" t="s">
        <v>10</v>
      </c>
      <c r="AC34" s="4" t="s">
        <v>10</v>
      </c>
      <c r="AD34" s="4" t="s">
        <v>10</v>
      </c>
    </row>
    <row r="35">
      <c r="A35" s="0" t="s">
        <v>6</v>
      </c>
      <c r="B35" s="0" t="s">
        <v>7</v>
      </c>
      <c r="C35" s="0" t="s">
        <v>59</v>
      </c>
      <c r="D35" s="4" t="s">
        <v>60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  <c r="K35" s="4" t="s">
        <v>10</v>
      </c>
      <c r="L35" s="4" t="s">
        <v>10</v>
      </c>
      <c r="M35" s="4" t="s">
        <v>10</v>
      </c>
      <c r="N35" s="4" t="s">
        <v>10</v>
      </c>
      <c r="O35" s="4" t="s">
        <v>10</v>
      </c>
      <c r="P35" s="4">
        <v>29</v>
      </c>
      <c r="Q35" s="4">
        <v>6</v>
      </c>
      <c r="R35" s="4">
        <v>4</v>
      </c>
      <c r="S35" s="4">
        <v>31</v>
      </c>
      <c r="T35" s="4">
        <v>14</v>
      </c>
      <c r="U35" s="4">
        <v>75.87</v>
      </c>
      <c r="V35" s="4">
        <v>20.66</v>
      </c>
      <c r="W35" s="4">
        <v>34.68</v>
      </c>
      <c r="X35" s="4">
        <v>28.26</v>
      </c>
      <c r="Y35" s="4">
        <v>12.67</v>
      </c>
      <c r="Z35" s="4">
        <v>175.24</v>
      </c>
      <c r="AA35" s="4">
        <v>417.48</v>
      </c>
      <c r="AB35" s="4">
        <v>425.3</v>
      </c>
      <c r="AC35" s="4">
        <v>525.76</v>
      </c>
      <c r="AD35" s="4">
        <v>583.33</v>
      </c>
    </row>
    <row r="36">
      <c r="A36" s="0" t="s">
        <v>6</v>
      </c>
      <c r="B36" s="0" t="s">
        <v>7</v>
      </c>
      <c r="C36" s="0" t="s">
        <v>61</v>
      </c>
      <c r="D36" s="4" t="s">
        <v>62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>
        <v>2.07</v>
      </c>
      <c r="K36" s="4">
        <v>1.41</v>
      </c>
      <c r="L36" s="4" t="s">
        <v>10</v>
      </c>
      <c r="M36" s="4" t="s">
        <v>10</v>
      </c>
      <c r="N36" s="4" t="s">
        <v>10</v>
      </c>
      <c r="O36" s="4" t="s">
        <v>10</v>
      </c>
      <c r="P36" s="4" t="s">
        <v>10</v>
      </c>
      <c r="Q36" s="4">
        <v>1</v>
      </c>
      <c r="R36" s="4" t="s">
        <v>10</v>
      </c>
      <c r="S36" s="4" t="s">
        <v>10</v>
      </c>
      <c r="T36" s="4" t="s">
        <v>10</v>
      </c>
      <c r="U36" s="4" t="s">
        <v>10</v>
      </c>
      <c r="V36" s="4" t="s">
        <v>10</v>
      </c>
      <c r="W36" s="4" t="s">
        <v>10</v>
      </c>
      <c r="X36" s="4" t="s">
        <v>10</v>
      </c>
      <c r="Y36" s="4" t="s">
        <v>10</v>
      </c>
      <c r="Z36" s="4" t="s">
        <v>10</v>
      </c>
      <c r="AA36" s="4" t="s">
        <v>10</v>
      </c>
      <c r="AB36" s="4" t="s">
        <v>10</v>
      </c>
      <c r="AC36" s="4" t="s">
        <v>10</v>
      </c>
      <c r="AD36" s="4" t="s">
        <v>10</v>
      </c>
    </row>
    <row r="37">
      <c r="A37" s="5" t="s">
        <v>63</v>
      </c>
      <c r="E37" s="5">
        <f>=SUBTOTAL(9,E10:E36)</f>
      </c>
      <c r="F37" s="5">
        <f>=SUBTOTAL(9,F10:F36)</f>
      </c>
      <c r="G37" s="5">
        <f>=SUBTOTAL(9,G10:G36)</f>
      </c>
      <c r="H37" s="5">
        <f>=SUBTOTAL(9,H10:H36)</f>
      </c>
      <c r="I37" s="5">
        <f>=SUBTOTAL(9,I10:I36)</f>
      </c>
      <c r="J37" s="5">
        <f>=SUBTOTAL(9,J10:J36)</f>
      </c>
      <c r="K37" s="5">
        <f>=SUBTOTAL(9,K10:K36)</f>
      </c>
      <c r="L37" s="5">
        <f>=SUBTOTAL(9,L10:L36)</f>
      </c>
      <c r="M37" s="5">
        <f>=SUBTOTAL(9,M10:M36)</f>
      </c>
      <c r="N37" s="5">
        <f>=SUBTOTAL(9,N10:N36)</f>
      </c>
      <c r="O37" s="5">
        <f>=SUBTOTAL(9,O10:O36)</f>
      </c>
      <c r="P37" s="5">
        <f>=SUBTOTAL(9,P10:P36)</f>
      </c>
      <c r="Q37" s="5">
        <f>=SUBTOTAL(9,Q10:Q36)</f>
      </c>
      <c r="R37" s="5">
        <f>=SUBTOTAL(9,R10:R36)</f>
      </c>
      <c r="S37" s="5">
        <f>=SUBTOTAL(9,S10:S36)</f>
      </c>
      <c r="T37" s="5">
        <f>=SUBTOTAL(9,T10:T36)</f>
      </c>
      <c r="U37" s="5">
        <f>=SUBTOTAL(9,U10:U36)</f>
      </c>
      <c r="V37" s="5">
        <f>=SUBTOTAL(9,V10:V36)</f>
      </c>
      <c r="W37" s="5">
        <f>=SUBTOTAL(9,W10:W36)</f>
      </c>
      <c r="X37" s="5">
        <f>=SUBTOTAL(9,X10:X36)</f>
      </c>
      <c r="Y37" s="5">
        <f>=SUBTOTAL(9,Y10:Y36)</f>
      </c>
      <c r="Z37" s="5">
        <f>=SUBTOTAL(9,Z10:Z36)</f>
      </c>
      <c r="AA37" s="5">
        <f>=SUBTOTAL(9,[10:[36)</f>
      </c>
      <c r="AB37" s="5">
        <f>=SUBTOTAL(9,\10:\36)</f>
      </c>
      <c r="AC37" s="5">
        <f>=SUBTOTAL(9,]10:]36)</f>
      </c>
      <c r="AD37" s="5">
        <f>=SUBTOTAL(9,^10:^36)</f>
      </c>
    </row>
    <row r="38">
      <c r="A38" s="0" t="s">
        <v>64</v>
      </c>
      <c r="B38" s="0" t="s">
        <v>64</v>
      </c>
      <c r="C38" s="0" t="s">
        <v>10</v>
      </c>
      <c r="D38" s="4" t="s">
        <v>10</v>
      </c>
      <c r="E38" s="4" t="s">
        <v>10</v>
      </c>
      <c r="F38" s="4">
        <v>250</v>
      </c>
      <c r="G38" s="4">
        <v>354</v>
      </c>
      <c r="H38" s="4" t="s">
        <v>10</v>
      </c>
      <c r="I38" s="4">
        <v>453.58</v>
      </c>
      <c r="J38" s="4">
        <v>323.33</v>
      </c>
      <c r="K38" s="4">
        <v>1024.89</v>
      </c>
      <c r="L38" s="4">
        <v>816</v>
      </c>
      <c r="M38" s="4">
        <v>1080</v>
      </c>
      <c r="N38" s="4">
        <v>2794</v>
      </c>
      <c r="O38" s="4">
        <v>1666</v>
      </c>
      <c r="P38" s="4">
        <v>3158</v>
      </c>
      <c r="Q38" s="4">
        <v>2511</v>
      </c>
      <c r="R38" s="4">
        <v>3429</v>
      </c>
      <c r="S38" s="4">
        <v>1661</v>
      </c>
      <c r="T38" s="4">
        <v>1741</v>
      </c>
      <c r="U38" s="4">
        <v>1488.8</v>
      </c>
      <c r="V38" s="4">
        <v>1802.84</v>
      </c>
      <c r="W38" s="4">
        <v>2610.59</v>
      </c>
      <c r="X38" s="4">
        <v>2155.13</v>
      </c>
      <c r="Y38" s="4">
        <v>1248.09</v>
      </c>
      <c r="Z38" s="4">
        <v>1467.64</v>
      </c>
      <c r="AA38" s="4">
        <v>5060.58</v>
      </c>
      <c r="AB38" s="4">
        <v>5554.8</v>
      </c>
      <c r="AC38" s="4">
        <v>6882.17</v>
      </c>
      <c r="AD38" s="4">
        <v>6535.2</v>
      </c>
    </row>
    <row r="40" ht="180" customHeight="1">
      <c r="A40" s="6" t="s">
        <v>65</v>
      </c>
      <c r="B40" s="6" t="s">
        <v>65</v>
      </c>
      <c r="C40" s="6" t="s">
        <v>65</v>
      </c>
      <c r="D40" s="6" t="s">
        <v>65</v>
      </c>
      <c r="E40" s="6" t="s">
        <v>65</v>
      </c>
      <c r="F40" s="6" t="s">
        <v>65</v>
      </c>
      <c r="G40" s="6" t="s">
        <v>65</v>
      </c>
      <c r="H40" s="6" t="s">
        <v>65</v>
      </c>
      <c r="I40" s="6" t="s">
        <v>65</v>
      </c>
      <c r="J40" s="6" t="s">
        <v>65</v>
      </c>
      <c r="K40" s="6" t="s">
        <v>65</v>
      </c>
      <c r="L40" s="6" t="s">
        <v>65</v>
      </c>
      <c r="M40" s="6" t="s">
        <v>65</v>
      </c>
    </row>
  </sheetData>
  <mergeCells>
    <mergeCell ref="A5:M5"/>
    <mergeCell ref="A6:M6"/>
    <mergeCell ref="A40:M40"/>
  </mergeCells>
  <headerFooter/>
  <drawing r:id="rId1"/>
</worksheet>
</file>